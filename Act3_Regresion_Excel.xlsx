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72703a177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94bce5d390f24acc"/>
    <x:sheet xmlns:r="http://schemas.openxmlformats.org/officeDocument/2006/relationships" name="Regresion Excel" sheetId="2" r:id="R4d364dccdec74982"/>
    <x:sheet xmlns:r="http://schemas.openxmlformats.org/officeDocument/2006/relationships" name="Comparacion" sheetId="3" r:id="R801ac54eb96443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yyyy"/>
    <x:numFmt numFmtId="201" formatCode="0.0000%"/>
    <x:numFmt numFmtId="202" formatCode="0.000000"/>
    <x:numFmt numFmtId="203" formatCode="0"/>
    <x:numFmt numFmtId="204" formatCode="0.000E+00"/>
    <x:numFmt numFmtId="205" formatCode="0.0000000000"/>
  </x:numFmts>
  <x:fonts count="6">
    <x:font>
      <x:sz val="11"/>
      <x:name val="Carlito"/>
    </x:font>
    <x:font>
      <x:sz val="10"/>
      <x:color rgb="FF000000"/>
      <x:name val="Arial"/>
    </x:font>
    <x:font>
      <x:b/>
      <x:sz val="15"/>
      <x:color rgb="FF000000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9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</x:border>
    <x:border>
      <x:left style="thin">
        <x:color rgb="FFE6E6E6"/>
      </x:left>
      <x:top style="thin">
        <x:color rgb="FFE6E6E6"/>
      </x:top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3" xfId="0" applyNumberFormat="1" applyFont="1" applyFill="1" applyBorder="1"/>
    <x:xf numFmtId="201" fontId="1" fillId="0" borderId="4" xfId="0" applyNumberFormat="1" applyFont="1" applyFill="1" applyBorder="1"/>
    <x:xf numFmtId="201" fontId="1" fillId="0" borderId="5" xfId="0" applyNumberFormat="1" applyFont="1" applyFill="1" applyBorder="1"/>
    <x:xf numFmtId="200" fontId="1" fillId="0" borderId="6" xfId="0" applyNumberFormat="1" applyFont="1" applyFill="1" applyBorder="1"/>
    <x:xf numFmtId="201" fontId="1" fillId="0" borderId="7" xfId="0" applyNumberFormat="1" applyFont="1" applyFill="1" applyBorder="1"/>
    <x:xf numFmtId="201" fontId="1" fillId="0" borderId="8" xfId="0" applyNumberFormat="1" applyFont="1" applyFill="1" applyBorder="1"/>
    <x:xf numFmtId="200" fontId="1" fillId="0" borderId="9" xfId="0" applyNumberFormat="1" applyFont="1" applyFill="1" applyBorder="1"/>
    <x:xf numFmtId="201" fontId="1" fillId="0" borderId="10" xfId="0" applyNumberFormat="1" applyFont="1" applyFill="1" applyBorder="1"/>
    <x:xf numFmtId="201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202" fontId="1" fillId="0" borderId="13" xfId="0" applyNumberFormat="1" applyFont="1" applyFill="1" applyBorder="1"/>
    <x:xf numFmtId="202" fontId="1" fillId="0" borderId="15" xfId="0" applyNumberFormat="1" applyFont="1" applyFill="1" applyBorder="1"/>
    <x:xf numFmtId="203" fontId="1" fillId="0" borderId="17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18" xfId="0" applyNumberFormat="1" applyFont="1" applyFill="1" applyBorder="1" applyAlignment="1">
      <x:alignment horizontal="center" wrapText="1"/>
    </x:xf>
    <x:xf numFmtId="0" fontId="1" fillId="0" borderId="18" xfId="0" applyNumberFormat="1" applyFont="1" applyFill="1" applyBorder="1"/>
    <x:xf numFmtId="203" fontId="1" fillId="0" borderId="18" xfId="0" applyNumberFormat="1" applyFont="1" applyFill="1" applyBorder="1"/>
    <x:xf numFmtId="202" fontId="1" fillId="0" borderId="18" xfId="0" applyNumberFormat="1" applyFont="1" applyFill="1" applyBorder="1"/>
    <x:xf numFmtId="204" fontId="1" fillId="0" borderId="18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8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18" xfId="0" applyNumberFormat="1" applyFont="1" applyFill="1" applyBorder="1" applyAlignment="1">
      <x:alignment horizontal="center"/>
    </x:xf>
    <x:xf numFmtId="205" fontId="1" fillId="0" borderId="18" xfId="0" applyNumberFormat="1" applyFont="1" applyFill="1" applyBorder="1"/>
    <x:xf numFmtId="0" fontId="1" fillId="0" borderId="18" xfId="0" applyNumberFormat="1" applyFont="1" applyFill="1" applyBorder="1" applyAlignment="1">
      <x:alignment wrapText="1"/>
    </x:xf>
    <x:xf numFmtId="0" fontId="4" fillId="2" borderId="18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3F6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46076860f4a41" /><Relationship Type="http://schemas.openxmlformats.org/officeDocument/2006/relationships/theme" Target="/xl/theme/theme1.xml" Id="R8e85ac6b1d5e44bf" /><Relationship Type="http://schemas.openxmlformats.org/officeDocument/2006/relationships/sharedStrings" Target="/xl/sharedStrings.xml" Id="R0eadf67fc0bf409c" /><Relationship Type="http://schemas.openxmlformats.org/officeDocument/2006/relationships/worksheet" Target="/xl/worksheets/sheet1.xml" Id="R94bce5d390f24acc" /><Relationship Type="http://schemas.openxmlformats.org/officeDocument/2006/relationships/worksheet" Target="/xl/worksheets/sheet2.xml" Id="R4d364dccdec74982" /><Relationship Type="http://schemas.openxmlformats.org/officeDocument/2006/relationships/worksheet" Target="/xl/worksheets/sheet3.xml" Id="R801ac54eb96443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3" t="str">
        <x:v>Act 3 Regresión lineal en finanzas</x:v>
      </x:c>
      <x:c r="B2" s="2"/>
      <x:c r="C2" s="2"/>
      <x:c r="D2" s="2"/>
      <x:c r="E2" s="2"/>
      <x:c r="F2" s="1"/>
      <x:c r="G2" s="1"/>
      <x:c r="H2" s="1"/>
    </x:row>
    <x:row r="3">
      <x:c r="A3" s="4" t="str">
        <x:v>60 observaciones mensuales simuladas. Semilla 20260907.</x:v>
      </x:c>
      <x:c r="B3" s="4"/>
      <x:c r="C3" s="4"/>
      <x:c r="D3" s="4"/>
      <x:c r="E3" s="4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>
      <x:c r="A6" s="9" t="str">
        <x:v>Fecha</x:v>
      </x:c>
      <x:c r="B6" s="9" t="str">
        <x:v>Rendimiento acción</x:v>
      </x:c>
      <x:c r="C6" s="9" t="str">
        <x:v>Rendimiento mercado</x:v>
      </x:c>
      <x:c r="D6" s="9" t="str">
        <x:v>Predicción</x:v>
      </x:c>
      <x:c r="E6" s="9" t="str">
        <x:v>Residuo</x:v>
      </x:c>
      <x:c r="F6" s="1"/>
      <x:c r="G6" s="1"/>
      <x:c r="H6" s="1"/>
    </x:row>
    <x:row r="7">
      <x:c r="A7" s="12" t="n">
        <x:v>44227</x:v>
      </x:c>
      <x:c r="B7" s="13" t="n">
        <x:v>0.012530484588070406</x:v>
      </x:c>
      <x:c r="C7" s="13" t="n">
        <x:v>0.03164955135598586</x:v>
      </x:c>
      <x:c r="D7" s="13" t="n">
        <x:f>'Regresion Excel'!$B$22+'Regresion Excel'!$B$23*C7</x:f>
        <x:v>0.04065218839875366</x:v>
      </x:c>
      <x:c r="E7" s="14" t="n">
        <x:f>B7-D7</x:f>
        <x:v>-0.028121703810683255</x:v>
      </x:c>
      <x:c r="F7" s="1"/>
      <x:c r="G7" s="1"/>
      <x:c r="H7" s="1"/>
    </x:row>
    <x:row r="8">
      <x:c r="A8" s="15" t="n">
        <x:v>44255</x:v>
      </x:c>
      <x:c r="B8" s="16" t="n">
        <x:v>0.01428590614570505</x:v>
      </x:c>
      <x:c r="C8" s="16" t="n">
        <x:v>-0.023146488113271427</x:v>
      </x:c>
      <x:c r="D8" s="16" t="n">
        <x:f>'Regresion Excel'!$B$22+'Regresion Excel'!$B$23*C8</x:f>
        <x:v>-0.02043842166804176</x:v>
      </x:c>
      <x:c r="E8" s="17" t="n">
        <x:f>B8-D8</x:f>
        <x:v>0.034724327813746805</x:v>
      </x:c>
      <x:c r="F8" s="1"/>
      <x:c r="G8" s="1"/>
      <x:c r="H8" s="1"/>
    </x:row>
    <x:row r="9">
      <x:c r="A9" s="15" t="n">
        <x:v>44286</x:v>
      </x:c>
      <x:c r="B9" s="16" t="n">
        <x:v>-0.08273051537789645</x:v>
      </x:c>
      <x:c r="C9" s="16" t="n">
        <x:v>-0.09206984481318244</x:v>
      </x:c>
      <x:c r="D9" s="16" t="n">
        <x:f>'Regresion Excel'!$B$22+'Regresion Excel'!$B$23*C9</x:f>
        <x:v>-0.09727919245059456</x:v>
      </x:c>
      <x:c r="E9" s="17" t="n">
        <x:f>B9-D9</x:f>
        <x:v>0.014548677072698107</x:v>
      </x:c>
      <x:c r="F9" s="1"/>
      <x:c r="G9" s="1"/>
      <x:c r="H9" s="1"/>
    </x:row>
    <x:row r="10">
      <x:c r="A10" s="15" t="n">
        <x:v>44316</x:v>
      </x:c>
      <x:c r="B10" s="16" t="n">
        <x:v>-0.03202063173244723</x:v>
      </x:c>
      <x:c r="C10" s="16" t="n">
        <x:v>-0.030007331731699227</x:v>
      </x:c>
      <x:c r="D10" s="16" t="n">
        <x:f>'Regresion Excel'!$B$22+'Regresion Excel'!$B$23*C10</x:f>
        <x:v>-0.0280873891168258</x:v>
      </x:c>
      <x:c r="E10" s="17" t="n">
        <x:f>B10-D10</x:f>
        <x:v>-0.003933242615621429</x:v>
      </x:c>
      <x:c r="F10" s="1"/>
      <x:c r="G10" s="1"/>
      <x:c r="H10" s="1"/>
    </x:row>
    <x:row r="11">
      <x:c r="A11" s="15" t="n">
        <x:v>44347</x:v>
      </x:c>
      <x:c r="B11" s="16" t="n">
        <x:v>0.0030630871316086987</x:v>
      </x:c>
      <x:c r="C11" s="16" t="n">
        <x:v>0.010323926784617476</x:v>
      </x:c>
      <x:c r="D11" s="16" t="n">
        <x:f>'Regresion Excel'!$B$22+'Regresion Excel'!$B$23*C11</x:f>
        <x:v>0.016876831133175077</x:v>
      </x:c>
      <x:c r="E11" s="17" t="n">
        <x:f>B11-D11</x:f>
        <x:v>-0.013813744001566378</x:v>
      </x:c>
      <x:c r="F11" s="1"/>
      <x:c r="G11" s="1"/>
      <x:c r="H11" s="1"/>
    </x:row>
    <x:row r="12">
      <x:c r="A12" s="15" t="n">
        <x:v>44377</x:v>
      </x:c>
      <x:c r="B12" s="16" t="n">
        <x:v>-0.0016890284563709883</x:v>
      </x:c>
      <x:c r="C12" s="16" t="n">
        <x:v>0.004243158835838876</x:v>
      </x:c>
      <x:c r="D12" s="16" t="n">
        <x:f>'Regresion Excel'!$B$22+'Regresion Excel'!$B$23*C12</x:f>
        <x:v>0.010097548775114977</x:v>
      </x:c>
      <x:c r="E12" s="17" t="n">
        <x:f>B12-D12</x:f>
        <x:v>-0.011786577231485965</x:v>
      </x:c>
      <x:c r="F12" s="1"/>
      <x:c r="G12" s="1"/>
      <x:c r="H12" s="1"/>
    </x:row>
    <x:row r="13">
      <x:c r="A13" s="15" t="n">
        <x:v>44408</x:v>
      </x:c>
      <x:c r="B13" s="16" t="n">
        <x:v>0.023860421752649505</x:v>
      </x:c>
      <x:c r="C13" s="16" t="n">
        <x:v>0.019411253670460402</x:v>
      </x:c>
      <x:c r="D13" s="16" t="n">
        <x:f>'Regresion Excel'!$B$22+'Regresion Excel'!$B$23*C13</x:f>
        <x:v>0.02700804405859093</x:v>
      </x:c>
      <x:c r="E13" s="17" t="n">
        <x:f>B13-D13</x:f>
        <x:v>-0.003147622305941424</x:v>
      </x:c>
      <x:c r="F13" s="1"/>
      <x:c r="G13" s="1"/>
      <x:c r="H13" s="1"/>
    </x:row>
    <x:row r="14">
      <x:c r="A14" s="15" t="n">
        <x:v>44439</x:v>
      </x:c>
      <x:c r="B14" s="16" t="n">
        <x:v>-0.002435165653536693</x:v>
      </x:c>
      <x:c r="C14" s="16" t="n">
        <x:v>0.007039784722740912</x:v>
      </x:c>
      <x:c r="D14" s="16" t="n">
        <x:f>'Regresion Excel'!$B$22+'Regresion Excel'!$B$23*C14</x:f>
        <x:v>0.013215430709908646</x:v>
      </x:c>
      <x:c r="E14" s="17" t="n">
        <x:f>B14-D14</x:f>
        <x:v>-0.01565059636344534</x:v>
      </x:c>
      <x:c r="F14" s="1"/>
      <x:c r="G14" s="1"/>
      <x:c r="H14" s="1"/>
    </x:row>
    <x:row r="15">
      <x:c r="A15" s="15" t="n">
        <x:v>44469</x:v>
      </x:c>
      <x:c r="B15" s="16" t="n">
        <x:v>-0.007430477588929002</x:v>
      </x:c>
      <x:c r="C15" s="16" t="n">
        <x:v>-0.01835682453961619</x:v>
      </x:c>
      <x:c r="D15" s="16" t="n">
        <x:f>'Regresion Excel'!$B$22+'Regresion Excel'!$B$23*C15</x:f>
        <x:v>-0.015098556368224464</x:v>
      </x:c>
      <x:c r="E15" s="17" t="n">
        <x:f>B15-D15</x:f>
        <x:v>0.0076680787792954615</x:v>
      </x:c>
      <x:c r="F15" s="1"/>
      <x:c r="G15" s="1"/>
      <x:c r="H15" s="1"/>
    </x:row>
    <x:row r="16">
      <x:c r="A16" s="15" t="n">
        <x:v>44500</x:v>
      </x:c>
      <x:c r="B16" s="16" t="n">
        <x:v>0.01939944535101754</x:v>
      </x:c>
      <x:c r="C16" s="16" t="n">
        <x:v>0.00268511948178601</x:v>
      </x:c>
      <x:c r="D16" s="16" t="n">
        <x:f>'Regresion Excel'!$B$22+'Regresion Excel'!$B$23*C16</x:f>
        <x:v>0.008360533188421598</x:v>
      </x:c>
      <x:c r="E16" s="17" t="n">
        <x:f>B16-D16</x:f>
        <x:v>0.011038912162595942</x:v>
      </x:c>
      <x:c r="F16" s="1"/>
      <x:c r="G16" s="1"/>
      <x:c r="H16" s="1"/>
    </x:row>
    <x:row r="17">
      <x:c r="A17" s="15" t="n">
        <x:v>44530</x:v>
      </x:c>
      <x:c r="B17" s="16" t="n">
        <x:v>-0.0478783671710871</x:v>
      </x:c>
      <x:c r="C17" s="16" t="n">
        <x:v>-0.031553005092215806</x:v>
      </x:c>
      <x:c r="D17" s="16" t="n">
        <x:f>'Regresion Excel'!$B$22+'Regresion Excel'!$B$23*C17</x:f>
        <x:v>-0.029810618194557385</x:v>
      </x:c>
      <x:c r="E17" s="17" t="n">
        <x:f>B17-D17</x:f>
        <x:v>-0.018067748976529716</x:v>
      </x:c>
      <x:c r="F17" s="1"/>
      <x:c r="G17" s="1"/>
      <x:c r="H17" s="1"/>
    </x:row>
    <x:row r="18">
      <x:c r="A18" s="15" t="n">
        <x:v>44561</x:v>
      </x:c>
      <x:c r="B18" s="16" t="n">
        <x:v>0.04692187678687189</x:v>
      </x:c>
      <x:c r="C18" s="16" t="n">
        <x:v>0.026370292805390414</x:v>
      </x:c>
      <x:c r="D18" s="16" t="n">
        <x:f>'Regresion Excel'!$B$22+'Regresion Excel'!$B$23*C18</x:f>
        <x:v>0.03476648701084288</x:v>
      </x:c>
      <x:c r="E18" s="17" t="n">
        <x:f>B18-D18</x:f>
        <x:v>0.012155389776029007</x:v>
      </x:c>
      <x:c r="F18" s="1"/>
      <x:c r="G18" s="1"/>
      <x:c r="H18" s="1"/>
    </x:row>
    <x:row r="19">
      <x:c r="A19" s="15" t="n">
        <x:v>44592</x:v>
      </x:c>
      <x:c r="B19" s="16" t="n">
        <x:v>0.020150374785315117</x:v>
      </x:c>
      <x:c r="C19" s="16" t="n">
        <x:v>0.00927703145474973</x:v>
      </x:c>
      <x:c r="D19" s="16" t="n">
        <x:f>'Regresion Excel'!$B$22+'Regresion Excel'!$B$23*C19</x:f>
        <x:v>0.015709676079686565</x:v>
      </x:c>
      <x:c r="E19" s="17" t="n">
        <x:f>B19-D19</x:f>
        <x:v>0.004440698705628552</x:v>
      </x:c>
      <x:c r="F19" s="1"/>
      <x:c r="G19" s="1"/>
      <x:c r="H19" s="1"/>
    </x:row>
    <x:row r="20">
      <x:c r="A20" s="15" t="n">
        <x:v>44620</x:v>
      </x:c>
      <x:c r="B20" s="16" t="n">
        <x:v>-0.006839037494828948</x:v>
      </x:c>
      <x:c r="C20" s="16" t="n">
        <x:v>-0.024426030788967504</x:v>
      </x:c>
      <x:c r="D20" s="16" t="n">
        <x:f>'Regresion Excel'!$B$22+'Regresion Excel'!$B$23*C20</x:f>
        <x:v>-0.021864948902891066</x:v>
      </x:c>
      <x:c r="E20" s="17" t="n">
        <x:f>B20-D20</x:f>
        <x:v>0.015025911408062118</x:v>
      </x:c>
      <x:c r="F20" s="1"/>
      <x:c r="G20" s="1"/>
      <x:c r="H20" s="1"/>
    </x:row>
    <x:row r="21">
      <x:c r="A21" s="15" t="n">
        <x:v>44651</x:v>
      </x:c>
      <x:c r="B21" s="16" t="n">
        <x:v>0.02804800670335684</x:v>
      </x:c>
      <x:c r="C21" s="16" t="n">
        <x:v>0.012648012815632654</x:v>
      </x:c>
      <x:c r="D21" s="16" t="n">
        <x:f>'Regresion Excel'!$B$22+'Regresion Excel'!$B$23*C21</x:f>
        <x:v>0.019467891269229085</x:v>
      </x:c>
      <x:c r="E21" s="17" t="n">
        <x:f>B21-D21</x:f>
        <x:v>0.008580115434127754</x:v>
      </x:c>
      <x:c r="F21" s="1"/>
      <x:c r="G21" s="1"/>
      <x:c r="H21" s="1"/>
    </x:row>
    <x:row r="22">
      <x:c r="A22" s="15" t="n">
        <x:v>44681</x:v>
      </x:c>
      <x:c r="B22" s="16" t="n">
        <x:v>0.0038920934518896326</x:v>
      </x:c>
      <x:c r="C22" s="16" t="n">
        <x:v>-0.003828737985926642</x:v>
      </x:c>
      <x:c r="D22" s="16" t="n">
        <x:f>'Regresion Excel'!$B$22+'Regresion Excel'!$B$23*C22</x:f>
        <x:v>0.0010984111364442028</x:v>
      </x:c>
      <x:c r="E22" s="17" t="n">
        <x:f>B22-D22</x:f>
        <x:v>0.0027936823154454298</x:v>
      </x:c>
      <x:c r="F22" s="1"/>
      <x:c r="G22" s="1"/>
      <x:c r="H22" s="1"/>
    </x:row>
    <x:row r="23">
      <x:c r="A23" s="15" t="n">
        <x:v>44712</x:v>
      </x:c>
      <x:c r="B23" s="16" t="n">
        <x:v>0.058660009154357484</x:v>
      </x:c>
      <x:c r="C23" s="16" t="n">
        <x:v>0.06432773145429586</x:v>
      </x:c>
      <x:c r="D23" s="16" t="n">
        <x:f>'Regresion Excel'!$B$22+'Regresion Excel'!$B$23*C23</x:f>
        <x:v>0.0770842002268784</x:v>
      </x:c>
      <x:c r="E23" s="17" t="n">
        <x:f>B23-D23</x:f>
        <x:v>-0.018424191072520912</x:v>
      </x:c>
      <x:c r="F23" s="1"/>
      <x:c r="G23" s="1"/>
      <x:c r="H23" s="1"/>
    </x:row>
    <x:row r="24">
      <x:c r="A24" s="15" t="n">
        <x:v>44742</x:v>
      </x:c>
      <x:c r="B24" s="16" t="n">
        <x:v>0.007289085917363561</x:v>
      </x:c>
      <x:c r="C24" s="16" t="n">
        <x:v>-0.0078434127810753</x:v>
      </x:c>
      <x:c r="D24" s="16" t="n">
        <x:f>'Regresion Excel'!$B$22+'Regresion Excel'!$B$23*C24</x:f>
        <x:v>-0.003377440308859947</x:v>
      </x:c>
      <x:c r="E24" s="17" t="n">
        <x:f>B24-D24</x:f>
        <x:v>0.010666526226223508</x:v>
      </x:c>
      <x:c r="F24" s="1"/>
      <x:c r="G24" s="1"/>
      <x:c r="H24" s="1"/>
    </x:row>
    <x:row r="25">
      <x:c r="A25" s="15" t="n">
        <x:v>44773</x:v>
      </x:c>
      <x:c r="B25" s="16" t="n">
        <x:v>0.0379445809927202</x:v>
      </x:c>
      <x:c r="C25" s="16" t="n">
        <x:v>0.021833019198255463</x:v>
      </x:c>
      <x:c r="D25" s="16" t="n">
        <x:f>'Regresion Excel'!$B$22+'Regresion Excel'!$B$23*C25</x:f>
        <x:v>0.02970800440179674</x:v>
      </x:c>
      <x:c r="E25" s="17" t="n">
        <x:f>B25-D25</x:f>
        <x:v>0.008236576590923462</x:v>
      </x:c>
      <x:c r="F25" s="1"/>
      <x:c r="G25" s="1"/>
      <x:c r="H25" s="1"/>
    </x:row>
    <x:row r="26">
      <x:c r="A26" s="15" t="n">
        <x:v>44804</x:v>
      </x:c>
      <x:c r="B26" s="16" t="n">
        <x:v>0.008527814073247089</x:v>
      </x:c>
      <x:c r="C26" s="16" t="n">
        <x:v>-0.007428428648165776</x:v>
      </x:c>
      <x:c r="D26" s="16" t="n">
        <x:f>'Regresion Excel'!$B$22+'Regresion Excel'!$B$23*C26</x:f>
        <x:v>-0.002914785816071172</x:v>
      </x:c>
      <x:c r="E26" s="17" t="n">
        <x:f>B26-D26</x:f>
        <x:v>0.011442599889318261</x:v>
      </x:c>
      <x:c r="F26" s="1"/>
      <x:c r="G26" s="1"/>
      <x:c r="H26" s="1"/>
    </x:row>
    <x:row r="27">
      <x:c r="A27" s="15" t="n">
        <x:v>44834</x:v>
      </x:c>
      <x:c r="B27" s="16" t="n">
        <x:v>0.02439830772497384</x:v>
      </x:c>
      <x:c r="C27" s="16" t="n">
        <x:v>0.01913079446846239</x:v>
      </x:c>
      <x:c r="D27" s="16" t="n">
        <x:f>'Regresion Excel'!$B$22+'Regresion Excel'!$B$23*C27</x:f>
        <x:v>0.02669536774265905</x:v>
      </x:c>
      <x:c r="E27" s="17" t="n">
        <x:f>B27-D27</x:f>
        <x:v>-0.002297060017685211</x:v>
      </x:c>
      <x:c r="F27" s="1"/>
      <x:c r="G27" s="1"/>
      <x:c r="H27" s="1"/>
    </x:row>
    <x:row r="28">
      <x:c r="A28" s="15" t="n">
        <x:v>44865</x:v>
      </x:c>
      <x:c r="B28" s="16" t="n">
        <x:v>0.06400618158750117</x:v>
      </x:c>
      <x:c r="C28" s="16" t="n">
        <x:v>0.039734158969776855</x:v>
      </x:c>
      <x:c r="D28" s="16" t="n">
        <x:f>'Regresion Excel'!$B$22+'Regresion Excel'!$B$23*C28</x:f>
        <x:v>0.04966549695281887</x:v>
      </x:c>
      <x:c r="E28" s="17" t="n">
        <x:f>B28-D28</x:f>
        <x:v>0.0143406846346823</x:v>
      </x:c>
      <x:c r="F28" s="1"/>
      <x:c r="G28" s="1"/>
      <x:c r="H28" s="1"/>
    </x:row>
    <x:row r="29">
      <x:c r="A29" s="15" t="n">
        <x:v>44895</x:v>
      </x:c>
      <x:c r="B29" s="16" t="n">
        <x:v>-0.07534735924969715</x:v>
      </x:c>
      <x:c r="C29" s="16" t="n">
        <x:v>-0.061857248077426576</x:v>
      </x:c>
      <x:c r="D29" s="16" t="n">
        <x:f>'Regresion Excel'!$B$22+'Regresion Excel'!$B$23*C29</x:f>
        <x:v>-0.06359599227469662</x:v>
      </x:c>
      <x:c r="E29" s="17" t="n">
        <x:f>B29-D29</x:f>
        <x:v>-0.011751366975000538</x:v>
      </x:c>
      <x:c r="F29" s="1"/>
      <x:c r="G29" s="1"/>
      <x:c r="H29" s="1"/>
    </x:row>
    <x:row r="30">
      <x:c r="A30" s="15" t="n">
        <x:v>44926</x:v>
      </x:c>
      <x:c r="B30" s="16" t="n">
        <x:v>-0.0433882907511013</x:v>
      </x:c>
      <x:c r="C30" s="16" t="n">
        <x:v>-0.05639252609427169</x:v>
      </x:c>
      <x:c r="D30" s="16" t="n">
        <x:f>'Regresion Excel'!$B$22+'Regresion Excel'!$B$23*C30</x:f>
        <x:v>-0.0575035227635806</x:v>
      </x:c>
      <x:c r="E30" s="17" t="n">
        <x:f>B30-D30</x:f>
        <x:v>0.0141152320124793</x:v>
      </x:c>
      <x:c r="F30" s="1"/>
      <x:c r="G30" s="1"/>
      <x:c r="H30" s="1"/>
    </x:row>
    <x:row r="31">
      <x:c r="A31" s="15" t="n">
        <x:v>44957</x:v>
      </x:c>
      <x:c r="B31" s="16" t="n">
        <x:v>-0.018474880189201504</x:v>
      </x:c>
      <x:c r="C31" s="16" t="n">
        <x:v>-0.0242264383039467</x:v>
      </x:c>
      <x:c r="D31" s="16" t="n">
        <x:f>'Regresion Excel'!$B$22+'Regresion Excel'!$B$23*C31</x:f>
        <x:v>-0.02164242868440868</x:v>
      </x:c>
      <x:c r="E31" s="17" t="n">
        <x:f>B31-D31</x:f>
        <x:v>0.0031675484952071765</x:v>
      </x:c>
      <x:c r="F31" s="1"/>
      <x:c r="G31" s="1"/>
      <x:c r="H31" s="1"/>
    </x:row>
    <x:row r="32">
      <x:c r="A32" s="15" t="n">
        <x:v>44985</x:v>
      </x:c>
      <x:c r="B32" s="16" t="n">
        <x:v>-0.03725195966807703</x:v>
      </x:c>
      <x:c r="C32" s="16" t="n">
        <x:v>-0.03869998844230121</x:v>
      </x:c>
      <x:c r="D32" s="16" t="n">
        <x:f>'Regresion Excel'!$B$22+'Regresion Excel'!$B$23*C32</x:f>
        <x:v>-0.03777859502687761</x:v>
      </x:c>
      <x:c r="E32" s="17" t="n">
        <x:f>B32-D32</x:f>
        <x:v>0.000526635358800577</x:v>
      </x:c>
      <x:c r="F32" s="1"/>
      <x:c r="G32" s="1"/>
      <x:c r="H32" s="1"/>
    </x:row>
    <x:row r="33">
      <x:c r="A33" s="15" t="n">
        <x:v>45016</x:v>
      </x:c>
      <x:c r="B33" s="16" t="n">
        <x:v>-0.06169436733288378</x:v>
      </x:c>
      <x:c r="C33" s="16" t="n">
        <x:v>-0.04067490617827889</x:v>
      </x:c>
      <x:c r="D33" s="16" t="n">
        <x:f>'Regresion Excel'!$B$22+'Regresion Excel'!$B$23*C33</x:f>
        <x:v>-0.039980376952929025</x:v>
      </x:c>
      <x:c r="E33" s="17" t="n">
        <x:f>B33-D33</x:f>
        <x:v>-0.021713990379954758</x:v>
      </x:c>
      <x:c r="F33" s="1"/>
      <x:c r="G33" s="1"/>
      <x:c r="H33" s="1"/>
    </x:row>
    <x:row r="34">
      <x:c r="A34" s="15" t="n">
        <x:v>45046</x:v>
      </x:c>
      <x:c r="B34" s="16" t="n">
        <x:v>-0.06542499829770432</x:v>
      </x:c>
      <x:c r="C34" s="16" t="n">
        <x:v>-0.06923967264871482</x:v>
      </x:c>
      <x:c r="D34" s="16" t="n">
        <x:f>'Regresion Excel'!$B$22+'Regresion Excel'!$B$23*C34</x:f>
        <x:v>-0.07182645610384117</x:v>
      </x:c>
      <x:c r="E34" s="17" t="n">
        <x:f>B34-D34</x:f>
        <x:v>0.006401457806136851</x:v>
      </x:c>
      <x:c r="F34" s="1"/>
      <x:c r="G34" s="1"/>
      <x:c r="H34" s="1"/>
    </x:row>
    <x:row r="35">
      <x:c r="A35" s="15" t="n">
        <x:v>45077</x:v>
      </x:c>
      <x:c r="B35" s="16" t="n">
        <x:v>0.03195680986618889</x:v>
      </x:c>
      <x:c r="C35" s="16" t="n">
        <x:v>0.03674991546238015</x:v>
      </x:c>
      <x:c r="D35" s="16" t="n">
        <x:f>'Regresion Excel'!$B$22+'Regresion Excel'!$B$23*C35</x:f>
        <x:v>0.04633844524943763</x:v>
      </x:c>
      <x:c r="E35" s="17" t="n">
        <x:f>B35-D35</x:f>
        <x:v>-0.014381635383248742</x:v>
      </x:c>
      <x:c r="F35" s="1"/>
      <x:c r="G35" s="1"/>
      <x:c r="H35" s="1"/>
    </x:row>
    <x:row r="36">
      <x:c r="A36" s="15" t="n">
        <x:v>45107</x:v>
      </x:c>
      <x:c r="B36" s="16" t="n">
        <x:v>0.08223923889093562</x:v>
      </x:c>
      <x:c r="C36" s="16" t="n">
        <x:v>0.05480955238911647</x:v>
      </x:c>
      <x:c r="D36" s="16" t="n">
        <x:f>'Regresion Excel'!$B$22+'Regresion Excel'!$B$23*C36</x:f>
        <x:v>0.06647264195644832</x:v>
      </x:c>
      <x:c r="E36" s="17" t="n">
        <x:f>B36-D36</x:f>
        <x:v>0.0157665969344873</x:v>
      </x:c>
      <x:c r="F36" s="1"/>
      <x:c r="G36" s="1"/>
      <x:c r="H36" s="1"/>
    </x:row>
    <x:row r="37">
      <x:c r="A37" s="15" t="n">
        <x:v>45138</x:v>
      </x:c>
      <x:c r="B37" s="16" t="n">
        <x:v>-0.06741243612805943</x:v>
      </x:c>
      <x:c r="C37" s="16" t="n">
        <x:v>-0.041723817456118924</x:v>
      </x:c>
      <x:c r="D37" s="16" t="n">
        <x:f>'Regresion Excel'!$B$22+'Regresion Excel'!$B$23*C37</x:f>
        <x:v>-0.041149779531835115</x:v>
      </x:c>
      <x:c r="E37" s="17" t="n">
        <x:f>B37-D37</x:f>
        <x:v>-0.026262656596224315</x:v>
      </x:c>
      <x:c r="F37" s="1"/>
      <x:c r="G37" s="1"/>
      <x:c r="H37" s="1"/>
    </x:row>
    <x:row r="38">
      <x:c r="A38" s="15" t="n">
        <x:v>45169</x:v>
      </x:c>
      <x:c r="B38" s="16" t="n">
        <x:v>-0.05379768208644457</x:v>
      </x:c>
      <x:c r="C38" s="16" t="n">
        <x:v>-0.06812764238941947</x:v>
      </x:c>
      <x:c r="D38" s="16" t="n">
        <x:f>'Regresion Excel'!$B$22+'Regresion Excel'!$B$23*C38</x:f>
        <x:v>-0.07058668389382217</x:v>
      </x:c>
      <x:c r="E38" s="17" t="n">
        <x:f>B38-D38</x:f>
        <x:v>0.016789001807377593</x:v>
      </x:c>
      <x:c r="F38" s="1"/>
      <x:c r="G38" s="1"/>
      <x:c r="H38" s="1"/>
    </x:row>
    <x:row r="39">
      <x:c r="A39" s="15" t="n">
        <x:v>45199</x:v>
      </x:c>
      <x:c r="B39" s="16" t="n">
        <x:v>-0.046972041090653144</x:v>
      </x:c>
      <x:c r="C39" s="16" t="n">
        <x:v>-0.01614807019381245</x:v>
      </x:c>
      <x:c r="D39" s="16" t="n">
        <x:f>'Regresion Excel'!$B$22+'Regresion Excel'!$B$23*C39</x:f>
        <x:v>-0.012636076382813485</x:v>
      </x:c>
      <x:c r="E39" s="17" t="n">
        <x:f>B39-D39</x:f>
        <x:v>-0.03433596470783966</x:v>
      </x:c>
      <x:c r="F39" s="1"/>
      <x:c r="G39" s="1"/>
      <x:c r="H39" s="1"/>
    </x:row>
    <x:row r="40">
      <x:c r="A40" s="15" t="n">
        <x:v>45230</x:v>
      </x:c>
      <x:c r="B40" s="16" t="n">
        <x:v>-0.004721108130485299</x:v>
      </x:c>
      <x:c r="C40" s="16" t="n">
        <x:v>-0.0060402814369691854</x:v>
      </x:c>
      <x:c r="D40" s="16" t="n">
        <x:f>'Regresion Excel'!$B$22+'Regresion Excel'!$B$23*C40</x:f>
        <x:v>-0.0013671783463360997</x:v>
      </x:c>
      <x:c r="E40" s="17" t="n">
        <x:f>B40-D40</x:f>
        <x:v>-0.003353929784149199</x:v>
      </x:c>
      <x:c r="F40" s="1"/>
      <x:c r="G40" s="1"/>
      <x:c r="H40" s="1"/>
    </x:row>
    <x:row r="41">
      <x:c r="A41" s="15" t="n">
        <x:v>45260</x:v>
      </x:c>
      <x:c r="B41" s="16" t="n">
        <x:v>-0.04253455055402607</x:v>
      </x:c>
      <x:c r="C41" s="16" t="n">
        <x:v>-0.02549155240681015</x:v>
      </x:c>
      <x:c r="D41" s="16" t="n">
        <x:f>'Regresion Excel'!$B$22+'Regresion Excel'!$B$23*C41</x:f>
        <x:v>-0.023052869896887103</x:v>
      </x:c>
      <x:c r="E41" s="17" t="n">
        <x:f>B41-D41</x:f>
        <x:v>-0.01948168065713897</x:v>
      </x:c>
      <x:c r="F41" s="1"/>
      <x:c r="G41" s="1"/>
      <x:c r="H41" s="1"/>
    </x:row>
    <x:row r="42">
      <x:c r="A42" s="15" t="n">
        <x:v>45291</x:v>
      </x:c>
      <x:c r="B42" s="16" t="n">
        <x:v>-0.03287507450933954</x:v>
      </x:c>
      <x:c r="C42" s="16" t="n">
        <x:v>-0.0035377850533939792</x:v>
      </x:c>
      <x:c r="D42" s="16" t="n">
        <x:f>'Regresion Excel'!$B$22+'Regresion Excel'!$B$23*C42</x:f>
        <x:v>0.001422786626375655</x:v>
      </x:c>
      <x:c r="E42" s="17" t="n">
        <x:f>B42-D42</x:f>
        <x:v>-0.034297861135715195</x:v>
      </x:c>
      <x:c r="F42" s="1"/>
      <x:c r="G42" s="1"/>
      <x:c r="H42" s="1"/>
    </x:row>
    <x:row r="43">
      <x:c r="A43" s="15" t="n">
        <x:v>45322</x:v>
      </x:c>
      <x:c r="B43" s="16" t="n">
        <x:v>-0.030037580020851287</x:v>
      </x:c>
      <x:c r="C43" s="16" t="n">
        <x:v>-0.03289032080729045</x:v>
      </x:c>
      <x:c r="D43" s="16" t="n">
        <x:f>'Regresion Excel'!$B$22+'Regresion Excel'!$B$23*C43</x:f>
        <x:v>-0.0313015550154869</x:v>
      </x:c>
      <x:c r="E43" s="17" t="n">
        <x:f>B43-D43</x:f>
        <x:v>0.001263974994635611</x:v>
      </x:c>
      <x:c r="F43" s="1"/>
      <x:c r="G43" s="1"/>
      <x:c r="H43" s="1"/>
    </x:row>
    <x:row r="44">
      <x:c r="A44" s="15" t="n">
        <x:v>45351</x:v>
      </x:c>
      <x:c r="B44" s="16" t="n">
        <x:v>0.07300914577786946</x:v>
      </x:c>
      <x:c r="C44" s="16" t="n">
        <x:v>0.03839696641371834</x:v>
      </x:c>
      <x:c r="D44" s="16" t="n">
        <x:f>'Regresion Excel'!$B$22+'Regresion Excel'!$B$23*C44</x:f>
        <x:v>0.04817469743851778</x:v>
      </x:c>
      <x:c r="E44" s="17" t="n">
        <x:f>B44-D44</x:f>
        <x:v>0.02483444833935168</x:v>
      </x:c>
      <x:c r="F44" s="1"/>
      <x:c r="G44" s="1"/>
      <x:c r="H44" s="1"/>
    </x:row>
    <x:row r="45">
      <x:c r="A45" s="15" t="n">
        <x:v>45382</x:v>
      </x:c>
      <x:c r="B45" s="16" t="n">
        <x:v>0.07620771399023281</x:v>
      </x:c>
      <x:c r="C45" s="16" t="n">
        <x:v>0.06497528207264985</x:v>
      </x:c>
      <x:c r="D45" s="16" t="n">
        <x:f>'Regresion Excel'!$B$22+'Regresion Excel'!$B$23*C45</x:f>
        <x:v>0.07780613675199113</x:v>
      </x:c>
      <x:c r="E45" s="17" t="n">
        <x:f>B45-D45</x:f>
        <x:v>-0.0015984227617583252</x:v>
      </x:c>
      <x:c r="F45" s="1"/>
      <x:c r="G45" s="1"/>
      <x:c r="H45" s="1"/>
    </x:row>
    <x:row r="46">
      <x:c r="A46" s="15" t="n">
        <x:v>45412</x:v>
      </x:c>
      <x:c r="B46" s="16" t="n">
        <x:v>0.1129249257986149</x:v>
      </x:c>
      <x:c r="C46" s="16" t="n">
        <x:v>0.09682344001536758</x:v>
      </x:c>
      <x:c r="D46" s="16" t="n">
        <x:f>'Regresion Excel'!$B$22+'Regresion Excel'!$B$23*C46</x:f>
        <x:v>0.11331277951429976</x:v>
      </x:c>
      <x:c r="E46" s="17" t="n">
        <x:f>B46-D46</x:f>
        <x:v>-0.00038785371568485216</x:v>
      </x:c>
      <x:c r="F46" s="1"/>
      <x:c r="G46" s="1"/>
      <x:c r="H46" s="1"/>
    </x:row>
    <x:row r="47">
      <x:c r="A47" s="15" t="n">
        <x:v>45443</x:v>
      </x:c>
      <x:c r="B47" s="16" t="n">
        <x:v>-0.048017264798717194</x:v>
      </x:c>
      <x:c r="C47" s="16" t="n">
        <x:v>-0.019847557231267236</x:v>
      </x:c>
      <x:c r="D47" s="16" t="n">
        <x:f>'Regresion Excel'!$B$22+'Regresion Excel'!$B$23*C47</x:f>
        <x:v>-0.016760533592519517</x:v>
      </x:c>
      <x:c r="E47" s="17" t="n">
        <x:f>B47-D47</x:f>
        <x:v>-0.03125673120619768</x:v>
      </x:c>
      <x:c r="F47" s="1"/>
      <x:c r="G47" s="1"/>
      <x:c r="H47" s="1"/>
    </x:row>
    <x:row r="48">
      <x:c r="A48" s="15" t="n">
        <x:v>45473</x:v>
      </x:c>
      <x:c r="B48" s="16" t="n">
        <x:v>0.054909767529852965</x:v>
      </x:c>
      <x:c r="C48" s="16" t="n">
        <x:v>0.030463152547257785</x:v>
      </x:c>
      <x:c r="D48" s="16" t="n">
        <x:f>'Regresion Excel'!$B$22+'Regresion Excel'!$B$23*C48</x:f>
        <x:v>0.03932950472106962</x:v>
      </x:c>
      <x:c r="E48" s="17" t="n">
        <x:f>B48-D48</x:f>
        <x:v>0.015580262808783343</x:v>
      </x:c>
      <x:c r="F48" s="1"/>
      <x:c r="G48" s="1"/>
      <x:c r="H48" s="1"/>
    </x:row>
    <x:row r="49">
      <x:c r="A49" s="15" t="n">
        <x:v>45504</x:v>
      </x:c>
      <x:c r="B49" s="16" t="n">
        <x:v>0.02401825049017285</x:v>
      </x:c>
      <x:c r="C49" s="16" t="n">
        <x:v>-0.001753157402674079</x:v>
      </x:c>
      <x:c r="D49" s="16" t="n">
        <x:f>'Regresion Excel'!$B$22+'Regresion Excel'!$B$23*C49</x:f>
        <x:v>0.0034124193257556406</x:v>
      </x:c>
      <x:c r="E49" s="17" t="n">
        <x:f>B49-D49</x:f>
        <x:v>0.02060583116441721</x:v>
      </x:c>
      <x:c r="F49" s="1"/>
      <x:c r="G49" s="1"/>
      <x:c r="H49" s="1"/>
    </x:row>
    <x:row r="50">
      <x:c r="A50" s="15" t="n">
        <x:v>45535</x:v>
      </x:c>
      <x:c r="B50" s="16" t="n">
        <x:v>-0.07793265567750715</x:v>
      </x:c>
      <x:c r="C50" s="16" t="n">
        <x:v>-0.09257277821917151</x:v>
      </x:c>
      <x:c r="D50" s="16" t="n">
        <x:f>'Regresion Excel'!$B$22+'Regresion Excel'!$B$23*C50</x:f>
        <x:v>-0.09783989918948362</x:v>
      </x:c>
      <x:c r="E50" s="17" t="n">
        <x:f>B50-D50</x:f>
        <x:v>0.019907243511976466</x:v>
      </x:c>
      <x:c r="F50" s="1"/>
      <x:c r="G50" s="1"/>
      <x:c r="H50" s="1"/>
    </x:row>
    <x:row r="51">
      <x:c r="A51" s="15" t="n">
        <x:v>45565</x:v>
      </x:c>
      <x:c r="B51" s="16" t="n">
        <x:v>0.0966921288714088</x:v>
      </x:c>
      <x:c r="C51" s="16" t="n">
        <x:v>0.04813730362010978</x:v>
      </x:c>
      <x:c r="D51" s="16" t="n">
        <x:f>'Regresion Excel'!$B$22+'Regresion Excel'!$B$23*C51</x:f>
        <x:v>0.059033933762132035</x:v>
      </x:c>
      <x:c r="E51" s="17" t="n">
        <x:f>B51-D51</x:f>
        <x:v>0.03765819510927676</x:v>
      </x:c>
      <x:c r="F51" s="1"/>
      <x:c r="G51" s="1"/>
      <x:c r="H51" s="1"/>
    </x:row>
    <x:row r="52">
      <x:c r="A52" s="15" t="n">
        <x:v>45596</x:v>
      </x:c>
      <x:c r="B52" s="16" t="n">
        <x:v>0.0516373311012612</x:v>
      </x:c>
      <x:c r="C52" s="16" t="n">
        <x:v>0.049103830029131816</x:v>
      </x:c>
      <x:c r="D52" s="16" t="n">
        <x:f>'Regresion Excel'!$B$22+'Regresion Excel'!$B$23*C52</x:f>
        <x:v>0.0601114876975027</x:v>
      </x:c>
      <x:c r="E52" s="17" t="n">
        <x:f>B52-D52</x:f>
        <x:v>-0.008474156596241497</x:v>
      </x:c>
      <x:c r="F52" s="1"/>
      <x:c r="G52" s="1"/>
      <x:c r="H52" s="1"/>
    </x:row>
    <x:row r="53">
      <x:c r="A53" s="15" t="n">
        <x:v>45626</x:v>
      </x:c>
      <x:c r="B53" s="16" t="n">
        <x:v>-0.029772669244686717</x:v>
      </x:c>
      <x:c r="C53" s="16" t="n">
        <x:v>-0.009643732281882603</x:v>
      </x:c>
      <x:c r="D53" s="16" t="n">
        <x:f>'Regresion Excel'!$B$22+'Regresion Excel'!$B$23*C53</x:f>
        <x:v>-0.005384567423971455</x:v>
      </x:c>
      <x:c r="E53" s="17" t="n">
        <x:f>B53-D53</x:f>
        <x:v>-0.024388101820715262</x:v>
      </x:c>
      <x:c r="F53" s="1"/>
      <x:c r="G53" s="1"/>
      <x:c r="H53" s="1"/>
    </x:row>
    <x:row r="54">
      <x:c r="A54" s="15" t="n">
        <x:v>45657</x:v>
      </x:c>
      <x:c r="B54" s="16" t="n">
        <x:v>-0.01270304958422801</x:v>
      </x:c>
      <x:c r="C54" s="16" t="n">
        <x:v>-0.005843039551063506</x:v>
      </x:c>
      <x:c r="D54" s="16" t="n">
        <x:f>'Regresion Excel'!$B$22+'Regresion Excel'!$B$23*C54</x:f>
        <x:v>-0.0011472787467042044</x:v>
      </x:c>
      <x:c r="E54" s="17" t="n">
        <x:f>B54-D54</x:f>
        <x:v>-0.011555770837523807</x:v>
      </x:c>
      <x:c r="F54" s="1"/>
      <x:c r="G54" s="1"/>
      <x:c r="H54" s="1"/>
    </x:row>
    <x:row r="55">
      <x:c r="A55" s="15" t="n">
        <x:v>45688</x:v>
      </x:c>
      <x:c r="B55" s="16" t="n">
        <x:v>-0.05314891255424915</x:v>
      </x:c>
      <x:c r="C55" s="16" t="n">
        <x:v>-0.059256347223369844</x:v>
      </x:c>
      <x:c r="D55" s="16" t="n">
        <x:f>'Regresion Excel'!$B$22+'Regresion Excel'!$B$23*C55</x:f>
        <x:v>-0.06069631884142378</x:v>
      </x:c>
      <x:c r="E55" s="17" t="n">
        <x:f>B55-D55</x:f>
        <x:v>0.007547406287174624</x:v>
      </x:c>
      <x:c r="F55" s="1"/>
      <x:c r="G55" s="1"/>
      <x:c r="H55" s="1"/>
    </x:row>
    <x:row r="56">
      <x:c r="A56" s="15" t="n">
        <x:v>45716</x:v>
      </x:c>
      <x:c r="B56" s="16" t="n">
        <x:v>-0.08677078927182086</x:v>
      </x:c>
      <x:c r="C56" s="16" t="n">
        <x:v>-0.06777302840254226</x:v>
      </x:c>
      <x:c r="D56" s="16" t="n">
        <x:f>'Regresion Excel'!$B$22+'Regresion Excel'!$B$23*C56</x:f>
        <x:v>-0.07019133443049642</x:v>
      </x:c>
      <x:c r="E56" s="17" t="n">
        <x:f>B56-D56</x:f>
        <x:v>-0.016579454841324434</x:v>
      </x:c>
      <x:c r="F56" s="1"/>
      <x:c r="G56" s="1"/>
      <x:c r="H56" s="1"/>
    </x:row>
    <x:row r="57">
      <x:c r="A57" s="15" t="n">
        <x:v>45747</x:v>
      </x:c>
      <x:c r="B57" s="16" t="n">
        <x:v>0.006886014516627228</x:v>
      </x:c>
      <x:c r="C57" s="16" t="n">
        <x:v>0.010738956386630947</x:v>
      </x:c>
      <x:c r="D57" s="16" t="n">
        <x:f>'Regresion Excel'!$B$22+'Regresion Excel'!$B$23*C57</x:f>
        <x:v>0.01733953631822786</x:v>
      </x:c>
      <x:c r="E57" s="17" t="n">
        <x:f>B57-D57</x:f>
        <x:v>-0.010453521801600632</x:v>
      </x:c>
      <x:c r="F57" s="1"/>
      <x:c r="G57" s="1"/>
      <x:c r="H57" s="1"/>
    </x:row>
    <x:row r="58">
      <x:c r="A58" s="15" t="n">
        <x:v>45777</x:v>
      </x:c>
      <x:c r="B58" s="16" t="n">
        <x:v>0.023722894976288336</x:v>
      </x:c>
      <x:c r="C58" s="16" t="n">
        <x:v>0.004450295449753778</x:v>
      </x:c>
      <x:c r="D58" s="16" t="n">
        <x:f>'Regresion Excel'!$B$22+'Regresion Excel'!$B$23*C58</x:f>
        <x:v>0.010328479737166186</x:v>
      </x:c>
      <x:c r="E58" s="17" t="n">
        <x:f>B58-D58</x:f>
        <x:v>0.01339441523912215</x:v>
      </x:c>
      <x:c r="F58" s="1"/>
      <x:c r="G58" s="1"/>
      <x:c r="H58" s="1"/>
    </x:row>
    <x:row r="59">
      <x:c r="A59" s="15" t="n">
        <x:v>45808</x:v>
      </x:c>
      <x:c r="B59" s="16" t="n">
        <x:v>0.02230284948337715</x:v>
      </x:c>
      <x:c r="C59" s="16" t="n">
        <x:v>-0.009513369057307146</x:v>
      </x:c>
      <x:c r="D59" s="16" t="n">
        <x:f>'Regresion Excel'!$B$22+'Regresion Excel'!$B$23*C59</x:f>
        <x:v>-0.005239229020015137</x:v>
      </x:c>
      <x:c r="E59" s="17" t="n">
        <x:f>B59-D59</x:f>
        <x:v>0.027542078503392287</x:v>
      </x:c>
      <x:c r="F59" s="1"/>
      <x:c r="G59" s="1"/>
      <x:c r="H59" s="1"/>
    </x:row>
    <x:row r="60">
      <x:c r="A60" s="15" t="n">
        <x:v>45838</x:v>
      </x:c>
      <x:c r="B60" s="16" t="n">
        <x:v>0.034037145083535086</x:v>
      </x:c>
      <x:c r="C60" s="16" t="n">
        <x:v>-0.0007703863516092821</x:v>
      </x:c>
      <x:c r="D60" s="16" t="n">
        <x:f>'Regresion Excel'!$B$22+'Regresion Excel'!$B$23*C60</x:f>
        <x:v>0.004508083969533735</x:v>
      </x:c>
      <x:c r="E60" s="17" t="n">
        <x:f>B60-D60</x:f>
        <x:v>0.029529061114001352</x:v>
      </x:c>
      <x:c r="F60" s="1"/>
      <x:c r="G60" s="1"/>
      <x:c r="H60" s="1"/>
    </x:row>
    <x:row r="61">
      <x:c r="A61" s="15" t="n">
        <x:v>45869</x:v>
      </x:c>
      <x:c r="B61" s="16" t="n">
        <x:v>-0.015960637978022333</x:v>
      </x:c>
      <x:c r="C61" s="16" t="n">
        <x:v>-0.033114769029299704</x:v>
      </x:c>
      <x:c r="D61" s="16" t="n">
        <x:f>'Regresion Excel'!$B$22+'Regresion Excel'!$B$23*C61</x:f>
        <x:v>-0.031551786217299316</x:v>
      </x:c>
      <x:c r="E61" s="17" t="n">
        <x:f>B61-D61</x:f>
        <x:v>0.015591148239276983</x:v>
      </x:c>
      <x:c r="F61" s="1"/>
      <x:c r="G61" s="1"/>
      <x:c r="H61" s="1"/>
    </x:row>
    <x:row r="62">
      <x:c r="A62" s="15" t="n">
        <x:v>45900</x:v>
      </x:c>
      <x:c r="B62" s="16" t="n">
        <x:v>0.036439535933870434</x:v>
      </x:c>
      <x:c r="C62" s="16" t="n">
        <x:v>0.025017186191620445</x:v>
      </x:c>
      <x:c r="D62" s="16" t="n">
        <x:f>'Regresion Excel'!$B$22+'Regresion Excel'!$B$23*C62</x:f>
        <x:v>0.03325794534759001</x:v>
      </x:c>
      <x:c r="E62" s="17" t="n">
        <x:f>B62-D62</x:f>
        <x:v>0.003181590586280425</x:v>
      </x:c>
      <x:c r="F62" s="1"/>
      <x:c r="G62" s="1"/>
      <x:c r="H62" s="1"/>
    </x:row>
    <x:row r="63">
      <x:c r="A63" s="15" t="n">
        <x:v>45930</x:v>
      </x:c>
      <x:c r="B63" s="16" t="n">
        <x:v>0.015385739426189175</x:v>
      </x:c>
      <x:c r="C63" s="16" t="n">
        <x:v>0.01824199397418943</x:v>
      </x:c>
      <x:c r="D63" s="16" t="n">
        <x:f>'Regresion Excel'!$B$22+'Regresion Excel'!$B$23*C63</x:f>
        <x:v>0.02570446830998623</x:v>
      </x:c>
      <x:c r="E63" s="17" t="n">
        <x:f>B63-D63</x:f>
        <x:v>-0.010318728883797054</x:v>
      </x:c>
      <x:c r="F63" s="1"/>
      <x:c r="G63" s="1"/>
      <x:c r="H63" s="1"/>
    </x:row>
    <x:row r="64">
      <x:c r="A64" s="15" t="n">
        <x:v>45961</x:v>
      </x:c>
      <x:c r="B64" s="16" t="n">
        <x:v>-0.012517384736518356</x:v>
      </x:c>
      <x:c r="C64" s="16" t="n">
        <x:v>-0.007951964146064514</x:v>
      </x:c>
      <x:c r="D64" s="16" t="n">
        <x:f>'Regresion Excel'!$B$22+'Regresion Excel'!$B$23*C64</x:f>
        <x:v>-0.003498461265392671</x:v>
      </x:c>
      <x:c r="E64" s="17" t="n">
        <x:f>B64-D64</x:f>
        <x:v>-0.009018923471125685</x:v>
      </x:c>
      <x:c r="F64" s="1"/>
      <x:c r="G64" s="1"/>
      <x:c r="H64" s="1"/>
    </x:row>
    <x:row r="65">
      <x:c r="A65" s="15" t="n">
        <x:v>45991</x:v>
      </x:c>
      <x:c r="B65" s="16" t="n">
        <x:v>-0.07859947822566454</x:v>
      </x:c>
      <x:c r="C65" s="16" t="n">
        <x:v>-0.03634736384549543</x:v>
      </x:c>
      <x:c r="D65" s="16" t="n">
        <x:f>'Regresion Excel'!$B$22+'Regresion Excel'!$B$23*C65</x:f>
        <x:v>-0.03515571802209612</x:v>
      </x:c>
      <x:c r="E65" s="17" t="n">
        <x:f>B65-D65</x:f>
        <x:v>-0.043443760203568424</x:v>
      </x:c>
      <x:c r="F65" s="1"/>
      <x:c r="G65" s="1"/>
      <x:c r="H65" s="1"/>
    </x:row>
    <x:row r="66">
      <x:c r="A66" s="18" t="n">
        <x:v>46022</x:v>
      </x:c>
      <x:c r="B66" s="19" t="n">
        <x:v>-0.058239521867345045</x:v>
      </x:c>
      <x:c r="C66" s="19" t="n">
        <x:v>-0.07430370789640715</x:v>
      </x:c>
      <x:c r="D66" s="19" t="n">
        <x:f>'Regresion Excel'!$B$22+'Regresion Excel'!$B$23*C66</x:f>
        <x:v>-0.0774722109006791</x:v>
      </x:c>
      <x:c r="E66" s="20" t="n">
        <x:f>B66-D66</x:f>
        <x:v>0.019232689033334055</x:v>
      </x:c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</x:sheetData>
  <x:conditionalFormatting sqref="A7:E66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3" t="str">
        <x:v>Salida de regresión en Excel</x:v>
      </x:c>
      <x:c r="B2" s="2"/>
      <x:c r="C2" s="2"/>
      <x:c r="D2" s="2"/>
      <x:c r="E2" s="2"/>
      <x:c r="F2" s="2"/>
      <x:c r="G2" s="2"/>
      <x:c r="H2" s="1"/>
    </x:row>
    <x:row r="3">
      <x:c r="A3" s="4" t="str">
        <x:v>Modelo OLS: rendimiento de la acción explicado por rendimiento del mercado.</x:v>
      </x:c>
      <x:c r="B3" s="4"/>
      <x:c r="C3" s="4"/>
      <x:c r="D3" s="4"/>
      <x:c r="E3" s="4"/>
      <x:c r="F3" s="4"/>
      <x:c r="G3" s="4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>
      <x:c r="A6" s="6" t="str">
        <x:v>Estadísticas de la regresión</x:v>
      </x:c>
      <x:c r="B6" s="6"/>
      <x:c r="C6" s="1"/>
      <x:c r="D6" s="1"/>
      <x:c r="E6" s="1"/>
      <x:c r="F6" s="1"/>
      <x:c r="G6" s="1"/>
      <x:c r="H6" s="1"/>
    </x:row>
    <x:row r="7">
      <x:c r="A7" s="21" t="str">
        <x:v>R múltiple</x:v>
      </x:c>
      <x:c r="B7" s="27" t="n">
        <x:v>0.9255714276171533</x:v>
      </x:c>
      <x:c r="C7" s="1"/>
      <x:c r="D7" s="1"/>
      <x:c r="E7" s="1"/>
      <x:c r="F7" s="1"/>
      <x:c r="G7" s="1"/>
      <x:c r="H7" s="1"/>
    </x:row>
    <x:row r="8">
      <x:c r="A8" s="23" t="str">
        <x:v>R cuadrado</x:v>
      </x:c>
      <x:c r="B8" s="28" t="n">
        <x:v>0.8566824676212552</x:v>
      </x:c>
      <x:c r="C8" s="1"/>
      <x:c r="D8" s="1"/>
      <x:c r="E8" s="1"/>
      <x:c r="F8" s="1"/>
      <x:c r="G8" s="1"/>
      <x:c r="H8" s="1"/>
    </x:row>
    <x:row r="9">
      <x:c r="A9" s="23" t="str">
        <x:v>R cuadrado ajustado</x:v>
      </x:c>
      <x:c r="B9" s="28" t="n">
        <x:v>0.8542114756836907</x:v>
      </x:c>
      <x:c r="C9" s="1"/>
      <x:c r="D9" s="1"/>
      <x:c r="E9" s="1"/>
      <x:c r="F9" s="1"/>
      <x:c r="G9" s="1"/>
      <x:c r="H9" s="1"/>
    </x:row>
    <x:row r="10">
      <x:c r="A10" s="23" t="str">
        <x:v>Error típico</x:v>
      </x:c>
      <x:c r="B10" s="28" t="n">
        <x:v>0.018343254699424126</x:v>
      </x:c>
      <x:c r="C10" s="1"/>
      <x:c r="D10" s="1"/>
      <x:c r="E10" s="1"/>
      <x:c r="F10" s="1"/>
      <x:c r="G10" s="1"/>
      <x:c r="H10" s="1"/>
    </x:row>
    <x:row r="11">
      <x:c r="A11" s="25" t="str">
        <x:v>Observaciones</x:v>
      </x:c>
      <x:c r="B11" s="29" t="n">
        <x:v>60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6" t="str">
        <x:v>ANÁLISIS DE VARIANZA</x:v>
      </x:c>
      <x:c r="B14" s="6"/>
      <x:c r="C14" s="6"/>
      <x:c r="D14" s="6"/>
      <x:c r="E14" s="6"/>
      <x:c r="F14" s="6"/>
      <x:c r="G14" s="1"/>
      <x:c r="H14" s="1"/>
    </x:row>
    <x:row r="15">
      <x:c r="A15" s="34" t="str"/>
      <x:c r="B15" s="34" t="str">
        <x:v>Grados de libertad</x:v>
      </x:c>
      <x:c r="C15" s="34" t="str">
        <x:v>Suma de cuadrados</x:v>
      </x:c>
      <x:c r="D15" s="34" t="str">
        <x:v>Media cuadrática</x:v>
      </x:c>
      <x:c r="E15" s="34" t="str">
        <x:v>F</x:v>
      </x:c>
      <x:c r="F15" s="34" t="str">
        <x:v>Significancia F</x:v>
      </x:c>
      <x:c r="G15" s="1"/>
      <x:c r="H15" s="1"/>
    </x:row>
    <x:row r="16">
      <x:c r="A16" s="35" t="str">
        <x:v>Regresión</x:v>
      </x:c>
      <x:c r="B16" s="36" t="n">
        <x:v>1</x:v>
      </x:c>
      <x:c r="C16" s="37" t="n">
        <x:v>0.11665445883758258</x:v>
      </x:c>
      <x:c r="D16" s="37" t="n">
        <x:v>0.11665445883758258</x:v>
      </x:c>
      <x:c r="E16" s="37" t="n">
        <x:v>346.69577613661113</x:v>
      </x:c>
      <x:c r="F16" s="38" t="n">
        <x:v>3.8319664254351205e-26</x:v>
      </x:c>
      <x:c r="G16" s="1"/>
      <x:c r="H16" s="1"/>
    </x:row>
    <x:row r="17">
      <x:c r="A17" s="35" t="str">
        <x:v>Residuos</x:v>
      </x:c>
      <x:c r="B17" s="36" t="n">
        <x:v>58</x:v>
      </x:c>
      <x:c r="C17" s="37" t="n">
        <x:v>0.019515549592140826</x:v>
      </x:c>
      <x:c r="D17" s="37" t="n">
        <x:v>0.0003364749929679453</x:v>
      </x:c>
      <x:c r="E17" s="37"/>
      <x:c r="F17" s="37"/>
      <x:c r="G17" s="1"/>
      <x:c r="H17" s="1"/>
    </x:row>
    <x:row r="18">
      <x:c r="A18" s="35" t="str">
        <x:v>Total</x:v>
      </x:c>
      <x:c r="B18" s="36" t="n">
        <x:v>59</x:v>
      </x:c>
      <x:c r="C18" s="37" t="n">
        <x:v>0.1361700084297234</x:v>
      </x:c>
      <x:c r="D18" s="37"/>
      <x:c r="E18" s="37"/>
      <x:c r="F18" s="37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41" t="str">
        <x:v>Variable</x:v>
      </x:c>
      <x:c r="B21" s="41" t="str">
        <x:v>Coeficientes</x:v>
      </x:c>
      <x:c r="C21" s="41" t="str">
        <x:v>Error típico</x:v>
      </x:c>
      <x:c r="D21" s="41" t="str">
        <x:v>Estadístico t</x:v>
      </x:c>
      <x:c r="E21" s="41" t="str">
        <x:v>Probabilidad</x:v>
      </x:c>
      <x:c r="F21" s="41" t="str">
        <x:v>Inferior 95%</x:v>
      </x:c>
      <x:c r="G21" s="41" t="str">
        <x:v>Superior 95%</x:v>
      </x:c>
      <x:c r="H21" s="1"/>
    </x:row>
    <x:row r="22">
      <x:c r="A22" s="35" t="str">
        <x:v>Intercepción</x:v>
      </x:c>
      <x:c r="B22" s="37" t="n">
        <x:v>0.005366966703811423</x:v>
      </x:c>
      <x:c r="C22" s="37" t="n">
        <x:v>0.0024008210507782475</x:v>
      </x:c>
      <x:c r="D22" s="37" t="n">
        <x:v>2.2354713617958626</x:v>
      </x:c>
      <x:c r="E22" s="38" t="n">
        <x:v>0.02925061242641656</x:v>
      </x:c>
      <x:c r="F22" s="37" t="n">
        <x:v>0.0005612012301646685</x:v>
      </x:c>
      <x:c r="G22" s="37" t="n">
        <x:v>0.010172732177458177</x:v>
      </x:c>
      <x:c r="H22" s="1"/>
    </x:row>
    <x:row r="23">
      <x:c r="A23" s="35" t="str">
        <x:v>Rendimiento mercado</x:v>
      </x:c>
      <x:c r="B23" s="37" t="n">
        <x:v>1.1148727290969567</x:v>
      </x:c>
      <x:c r="C23" s="37" t="n">
        <x:v>0.059875756977889764</x:v>
      </x:c>
      <x:c r="D23" s="37" t="n">
        <x:v>18.619768423280963</x:v>
      </x:c>
      <x:c r="E23" s="38" t="n">
        <x:v>3.8319664254351636e-26</x:v>
      </x:c>
      <x:c r="F23" s="37" t="n">
        <x:v>0.9950183794778836</x:v>
      </x:c>
      <x:c r="G23" s="37" t="n">
        <x:v>1.2347270787160296</x:v>
      </x:c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31" t="str">
        <x:v>Conclusión técnica</x:v>
      </x:c>
      <x:c r="B26" s="31"/>
      <x:c r="C26" s="31"/>
      <x:c r="D26" s="31"/>
      <x:c r="E26" s="31"/>
      <x:c r="F26" s="31"/>
      <x:c r="G26" s="31"/>
      <x:c r="H26" s="1"/>
    </x:row>
    <x:row r="27" ht="24" customHeight="1">
      <x:c r="A27" s="42" t="str">
        <x:v>El coeficiente del mercado es 1.1149 y su p-value es menor que 0.05, por lo que resulta significativo al 5%.</x:v>
      </x:c>
      <x:c r="B27" s="42"/>
      <x:c r="C27" s="42"/>
      <x:c r="D27" s="42"/>
      <x:c r="E27" s="42"/>
      <x:c r="F27" s="42"/>
      <x:c r="G27" s="42"/>
      <x:c r="H27" s="1"/>
    </x:row>
    <x:row r="28" ht="24" customHeight="1">
      <x:c r="A28" s="42" t="str">
        <x:v>El R² es 0.8567: el modelo explica aproximadamente 85.7% de la variación observada en la muestra.</x:v>
      </x:c>
      <x:c r="B28" s="42"/>
      <x:c r="C28" s="42"/>
      <x:c r="D28" s="42"/>
      <x:c r="E28" s="42"/>
      <x:c r="F28" s="42"/>
      <x:c r="G28" s="42"/>
      <x:c r="H28" s="1"/>
    </x:row>
    <x:row r="29" ht="24" customHeight="1">
      <x:c r="A29" s="42" t="str">
        <x:v>Los datos son simulados. La relación estadística no demuestra causalidad ni debe usarse como recomendación de inversión.</x:v>
      </x:c>
      <x:c r="B29" s="42"/>
      <x:c r="C29" s="42"/>
      <x:c r="D29" s="42"/>
      <x:c r="E29" s="42"/>
      <x:c r="F29" s="42"/>
      <x:c r="G29" s="42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</x:sheetData>
  <x:mergeCells>
    <x:mergeCell ref="A27:G27"/>
    <x:mergeCell ref="A28:G28"/>
    <x:mergeCell ref="A29:G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0" hidden="0" customWidth="1"/>
    <x:col min="3" max="3" width="28" hidden="0" customWidth="1"/>
    <x:col min="4" max="4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3" t="str">
        <x:v>Comparación Excel y Python</x:v>
      </x:c>
      <x:c r="B2" s="2"/>
      <x:c r="C2" s="2"/>
      <x:c r="D2" s="2"/>
      <x:c r="E2" s="1"/>
      <x:c r="F2" s="1"/>
      <x:c r="G2" s="1"/>
      <x:c r="H2" s="1"/>
    </x:row>
    <x:row r="3">
      <x:c r="A3" s="4" t="str">
        <x:v>Mismos datos, mismo intercepto y mismo método OLS.</x:v>
      </x:c>
      <x:c r="B3" s="4"/>
      <x:c r="C3" s="4"/>
      <x:c r="D3" s="4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>
      <x:c r="A6" s="44" t="str">
        <x:v>Métrica</x:v>
      </x:c>
      <x:c r="B6" s="44" t="str">
        <x:v>Excel</x:v>
      </x:c>
      <x:c r="C6" s="44" t="str">
        <x:v>Python</x:v>
      </x:c>
      <x:c r="D6" s="44" t="str">
        <x:v>Diferencia</x:v>
      </x:c>
      <x:c r="E6" s="1"/>
      <x:c r="F6" s="1"/>
      <x:c r="G6" s="1"/>
      <x:c r="H6" s="1"/>
    </x:row>
    <x:row r="7">
      <x:c r="A7" s="35" t="str">
        <x:v>Intercepto</x:v>
      </x:c>
      <x:c r="B7" s="45" t="n">
        <x:f>'Regresion Excel'!B22</x:f>
        <x:v>0.005366966703811423</x:v>
      </x:c>
      <x:c r="C7" s="45" t="n">
        <x:v>0.005366966703811423</x:v>
      </x:c>
      <x:c r="D7" s="45" t="n">
        <x:f>ABS(B7-C7)</x:f>
        <x:v>0</x:v>
      </x:c>
      <x:c r="E7" s="1"/>
      <x:c r="F7" s="1"/>
      <x:c r="G7" s="1"/>
      <x:c r="H7" s="1"/>
    </x:row>
    <x:row r="8">
      <x:c r="A8" s="35" t="str">
        <x:v>Coeficiente mercado</x:v>
      </x:c>
      <x:c r="B8" s="45" t="n">
        <x:f>'Regresion Excel'!B23</x:f>
        <x:v>1.1148727290969567</x:v>
      </x:c>
      <x:c r="C8" s="45" t="n">
        <x:v>1.1148727290969567</x:v>
      </x:c>
      <x:c r="D8" s="45" t="n">
        <x:f>ABS(B8-C8)</x:f>
        <x:v>0</x:v>
      </x:c>
      <x:c r="E8" s="1"/>
      <x:c r="F8" s="1"/>
      <x:c r="G8" s="1"/>
      <x:c r="H8" s="1"/>
    </x:row>
    <x:row r="9">
      <x:c r="A9" s="35" t="str">
        <x:v>R²</x:v>
      </x:c>
      <x:c r="B9" s="45" t="n">
        <x:f>'Regresion Excel'!B8</x:f>
        <x:v>0.8566824676212552</x:v>
      </x:c>
      <x:c r="C9" s="45" t="n">
        <x:v>0.8566824676212552</x:v>
      </x:c>
      <x:c r="D9" s="45" t="n">
        <x:f>ABS(B9-C9)</x:f>
        <x:v>0</x:v>
      </x:c>
      <x:c r="E9" s="1"/>
      <x:c r="F9" s="1"/>
      <x:c r="G9" s="1"/>
      <x:c r="H9" s="1"/>
    </x:row>
    <x:row r="10">
      <x:c r="A10" s="35" t="str">
        <x:v>R² ajustado</x:v>
      </x:c>
      <x:c r="B10" s="45" t="n">
        <x:f>'Regresion Excel'!B9</x:f>
        <x:v>0.8542114756836907</x:v>
      </x:c>
      <x:c r="C10" s="45" t="n">
        <x:v>0.8542114756836907</x:v>
      </x:c>
      <x:c r="D10" s="45" t="n">
        <x:f>ABS(B10-C10)</x:f>
        <x:v>0</x:v>
      </x:c>
      <x:c r="E10" s="1"/>
      <x:c r="F10" s="1"/>
      <x:c r="G10" s="1"/>
      <x:c r="H10" s="1"/>
    </x:row>
    <x:row r="11">
      <x:c r="A11" s="35" t="str">
        <x:v>p-value mercado</x:v>
      </x:c>
      <x:c r="B11" s="38" t="n">
        <x:f>'Regresion Excel'!E23</x:f>
        <x:v>3.8319664254351636e-26</x:v>
      </x:c>
      <x:c r="C11" s="38" t="n">
        <x:v>3.8319664254351636e-26</x:v>
      </x:c>
      <x:c r="D11" s="45" t="n">
        <x:f>ABS(B11-C11)</x:f>
        <x:v>0</x:v>
      </x:c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44" t="str">
        <x:v>Criterio</x:v>
      </x:c>
      <x:c r="B14" s="44" t="str">
        <x:v>Excel</x:v>
      </x:c>
      <x:c r="C14" s="44" t="str">
        <x:v>Python</x:v>
      </x:c>
      <x:c r="D14" s="1"/>
      <x:c r="E14" s="1"/>
      <x:c r="F14" s="1"/>
      <x:c r="G14" s="1"/>
      <x:c r="H14" s="1"/>
    </x:row>
    <x:row r="15">
      <x:c r="A15" s="46" t="str">
        <x:v>Facilidad</x:v>
      </x:c>
      <x:c r="B15" s="46" t="str">
        <x:v>Visual y rápido</x:v>
      </x:c>
      <x:c r="C15" s="46" t="str">
        <x:v>Requiere código</x:v>
      </x:c>
      <x:c r="D15" s="1"/>
      <x:c r="E15" s="1"/>
      <x:c r="F15" s="1"/>
      <x:c r="G15" s="1"/>
      <x:c r="H15" s="1"/>
    </x:row>
    <x:row r="16">
      <x:c r="A16" s="46" t="str">
        <x:v>Automatización</x:v>
      </x:c>
      <x:c r="B16" s="46" t="str">
        <x:v>Limitada sin macros</x:v>
      </x:c>
      <x:c r="C16" s="46" t="str">
        <x:v>Alta</x:v>
      </x:c>
      <x:c r="D16" s="1"/>
      <x:c r="E16" s="1"/>
      <x:c r="F16" s="1"/>
      <x:c r="G16" s="1"/>
      <x:c r="H16" s="1"/>
    </x:row>
    <x:row r="17">
      <x:c r="A17" s="46" t="str">
        <x:v>Reproducibilidad</x:v>
      </x:c>
      <x:c r="B17" s="46" t="str">
        <x:v>Depende de rangos</x:v>
      </x:c>
      <x:c r="C17" s="46" t="str">
        <x:v>Alta con código y semilla</x:v>
      </x:c>
      <x:c r="D17" s="1"/>
      <x:c r="E17" s="1"/>
      <x:c r="F17" s="1"/>
      <x:c r="G17" s="1"/>
      <x:c r="H17" s="1"/>
    </x:row>
    <x:row r="18">
      <x:c r="A18" s="46" t="str">
        <x:v>Escala</x:v>
      </x:c>
      <x:c r="B18" s="46" t="str">
        <x:v>Datos pequeños o medianos</x:v>
      </x:c>
      <x:c r="C18" s="46" t="str">
        <x:v>Datos grandes y procesos repetitivos</x:v>
      </x:c>
      <x:c r="D18" s="1"/>
      <x:c r="E18" s="1"/>
      <x:c r="F18" s="1"/>
      <x:c r="G18" s="1"/>
      <x:c r="H18" s="1"/>
    </x:row>
    <x:row r="19">
      <x:c r="A19" s="46" t="str">
        <x:v>Uso recomendado</x:v>
      </x:c>
      <x:c r="B19" s="46" t="str">
        <x:v>Análisis puntual</x:v>
      </x:c>
      <x:c r="C19" s="46" t="str">
        <x:v>Análisis recurrente o avanzado</x:v>
      </x:c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31" t="str">
        <x:v>Reflexión personal para completar</x:v>
      </x:c>
      <x:c r="B22" s="31"/>
      <x:c r="C22" s="31"/>
      <x:c r="D22" s="31"/>
      <x:c r="E22" s="1"/>
      <x:c r="F22" s="1"/>
      <x:c r="G22" s="1"/>
      <x:c r="H22" s="1"/>
    </x:row>
    <x:row r="23" ht="40" customHeight="1">
      <x:c r="A23" s="42" t="str">
        <x:v>Escribe 6 a 8 líneas sobre qué herramienta te resultó más clara, qué aprendiste al comparar resultados y cuál usarías en un análisis financiero mensual.</x:v>
      </x:c>
      <x:c r="B23" s="42"/>
      <x:c r="C23" s="42"/>
      <x:c r="D23" s="42"/>
      <x:c r="E23" s="1"/>
      <x:c r="F23" s="1"/>
      <x:c r="G23" s="1"/>
      <x:c r="H23" s="1"/>
    </x:row>
    <x:row r="24" ht="24" customHeight="1">
      <x:c r="A24" s="42" t="str">
        <x:v>Reflexión:</x:v>
      </x:c>
      <x:c r="B24" s="42"/>
      <x:c r="C24" s="42"/>
      <x:c r="D24" s="42"/>
      <x:c r="E24" s="1"/>
      <x:c r="F24" s="1"/>
      <x:c r="G24" s="1"/>
      <x:c r="H24" s="1"/>
    </x:row>
    <x:row r="25">
      <x:c r="A25" s="42"/>
      <x:c r="B25" s="42"/>
      <x:c r="C25" s="42"/>
      <x:c r="D25" s="42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47" t="str">
        <x:v>Fuente</x:v>
      </x:c>
      <x:c r="B28" s="47" t="str">
        <x:v>URL</x:v>
      </x:c>
      <x:c r="C28" s="1"/>
      <x:c r="D28" s="1"/>
      <x:c r="E28" s="1"/>
      <x:c r="F28" s="1"/>
      <x:c r="G28" s="1"/>
      <x:c r="H28" s="1"/>
    </x:row>
    <x:row r="29" ht="42" customHeight="1">
      <x:c r="A29" s="35" t="str">
        <x:v>statsmodels OLS</x:v>
      </x:c>
      <x:c r="B29" s="46" t="str">
        <x:v>https://www.statsmodels.org/stable/generated/statsmodels.regression.linear_model.OLS.html</x:v>
      </x:c>
      <x:c r="C29" s="1"/>
      <x:c r="D29" s="1"/>
      <x:c r="E29" s="1"/>
      <x:c r="F29" s="1"/>
      <x:c r="G29" s="1"/>
      <x:c r="H29" s="1"/>
    </x:row>
    <x:row r="30" ht="42" customHeight="1">
      <x:c r="A30" s="35" t="str">
        <x:v>Microsoft Análisis de Datos</x:v>
      </x:c>
      <x:c r="B30" s="46" t="str">
        <x:v>https://support.microsoft.com/es-es/office/realizar-un-an%C3%A1lisis-estad%C3%ADstico-y-de-ingenier%C3%ADa-con-el-complemento-herramientas-para-an%C3%A1lisis-6c67ccf0-f4a9-487c-8dec-bdb5a2cefab6</x:v>
      </x:c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</x:sheetData>
  <x:mergeCells>
    <x:mergeCell ref="A23:D23"/>
    <x:mergeCell ref="A24:D24"/>
  </x:mergeCells>
  <x:pageMargins left="0.7" right="0.7" top="0.75" bottom="0.75" header="0.3" footer="0.3"/>
</x:worksheet>
</file>